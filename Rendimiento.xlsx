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kal-my.sharepoint.com/personal/dd24800504_conkal_tecnm_mx/Documents/Tithonia_Phaseolus_project/data/Datos_brutos/"/>
    </mc:Choice>
  </mc:AlternateContent>
  <xr:revisionPtr revIDLastSave="349" documentId="8_{3633711E-DC2F-4065-8E26-60E1CB603AD1}" xr6:coauthVersionLast="47" xr6:coauthVersionMax="47" xr10:uidLastSave="{4E4EF6D9-44A4-4DEA-A625-A9A0B9D2CCE6}"/>
  <bookViews>
    <workbookView xWindow="-120" yWindow="-120" windowWidth="29040" windowHeight="15840" xr2:uid="{0BE74549-261B-4D14-8EDC-E425ACAB22A0}"/>
  </bookViews>
  <sheets>
    <sheet name="Datos" sheetId="3" r:id="rId1"/>
    <sheet name="Datos_R" sheetId="1" r:id="rId2"/>
    <sheet name="Datos_brutos" sheetId="2" r:id="rId3"/>
  </sheets>
  <definedNames>
    <definedName name="_xlnm._FilterDatabase" localSheetId="0" hidden="1">Datos!$A$1:$I$33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3" l="1"/>
  <c r="G30" i="3"/>
  <c r="G22" i="3"/>
  <c r="G23" i="3"/>
  <c r="G24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31" i="3"/>
  <c r="G32" i="3"/>
  <c r="G33" i="3"/>
  <c r="G25" i="3"/>
  <c r="G26" i="3"/>
  <c r="G27" i="3"/>
  <c r="G19" i="3"/>
  <c r="G20" i="3"/>
  <c r="G21" i="3"/>
  <c r="G28" i="3"/>
</calcChain>
</file>

<file path=xl/sharedStrings.xml><?xml version="1.0" encoding="utf-8"?>
<sst xmlns="http://schemas.openxmlformats.org/spreadsheetml/2006/main" count="270" uniqueCount="90">
  <si>
    <t>A: 5,0 kg</t>
  </si>
  <si>
    <t>A1 T100: 404 g</t>
  </si>
  <si>
    <t>A2 T100: 186 g</t>
  </si>
  <si>
    <t>A3 T100: 179 g</t>
  </si>
  <si>
    <t>A1 H100: 215 g</t>
  </si>
  <si>
    <t>A2 H100: 420 g</t>
  </si>
  <si>
    <t>A3 H100: 209 g</t>
  </si>
  <si>
    <t>A1 H2O: 171 g</t>
  </si>
  <si>
    <t>A2 H2O: 78 g</t>
  </si>
  <si>
    <t>A3 H2O: 301 g</t>
  </si>
  <si>
    <t>B1: 2,7 kg</t>
  </si>
  <si>
    <t>B2: 3,4 kg</t>
  </si>
  <si>
    <t>B3: 3,0 kg</t>
  </si>
  <si>
    <t>C: 730 g</t>
  </si>
  <si>
    <t>D1: 3,0 kg</t>
  </si>
  <si>
    <t>D2: 4,0 kg</t>
  </si>
  <si>
    <t>D3: 3,4 kg</t>
  </si>
  <si>
    <t>E1: 1,399 kg sin vainas -1kg con vainas</t>
  </si>
  <si>
    <t>E2: 1,754 kg sin vainas</t>
  </si>
  <si>
    <t>E3: 5,2 kg con vainas</t>
  </si>
  <si>
    <t>F1: 217 g</t>
  </si>
  <si>
    <t>F2: 72 g</t>
  </si>
  <si>
    <t>G1: 7,4 kg</t>
  </si>
  <si>
    <t>G2: 4,5 kg</t>
  </si>
  <si>
    <t>G3: 5,9 kg</t>
  </si>
  <si>
    <t>H: 7,2 kg</t>
  </si>
  <si>
    <t>H1 T100: 1,1 kg</t>
  </si>
  <si>
    <t>H2 T100: 1,5 kg</t>
  </si>
  <si>
    <t>H3 T100: 1,2 kg</t>
  </si>
  <si>
    <t>H1 H100: 1,9 kg</t>
  </si>
  <si>
    <t>H2 H100: 1,3 kg</t>
  </si>
  <si>
    <t>H3 H100: 1,6 kg</t>
  </si>
  <si>
    <t>H1 H2O: 1,8 kg</t>
  </si>
  <si>
    <t>H2 H2O: 0,9 kg</t>
  </si>
  <si>
    <t>H3 H2O: 2,0 kg</t>
  </si>
  <si>
    <t>A</t>
  </si>
  <si>
    <t>T10</t>
  </si>
  <si>
    <t>H10</t>
  </si>
  <si>
    <t>Cultivar</t>
  </si>
  <si>
    <t>Line</t>
  </si>
  <si>
    <t>Treatment</t>
  </si>
  <si>
    <t>Control</t>
  </si>
  <si>
    <t>B</t>
  </si>
  <si>
    <t>Yield_total</t>
  </si>
  <si>
    <t>No_plantas</t>
  </si>
  <si>
    <t>D</t>
  </si>
  <si>
    <t>E</t>
  </si>
  <si>
    <t>F</t>
  </si>
  <si>
    <t>G</t>
  </si>
  <si>
    <t>H</t>
  </si>
  <si>
    <t>Origin</t>
  </si>
  <si>
    <t>Domesticated</t>
  </si>
  <si>
    <t>Wild</t>
  </si>
  <si>
    <t>52.25</t>
  </si>
  <si>
    <t>34.2</t>
  </si>
  <si>
    <t>65.3846153846154</t>
  </si>
  <si>
    <t>63.8297872340426</t>
  </si>
  <si>
    <t>71.4285714285714</t>
  </si>
  <si>
    <t>90.9090909090909</t>
  </si>
  <si>
    <t>79.0697674418605</t>
  </si>
  <si>
    <t>50.1142857142857</t>
  </si>
  <si>
    <t>5.71052631578947</t>
  </si>
  <si>
    <t>7.2</t>
  </si>
  <si>
    <t>217.647058823529</t>
  </si>
  <si>
    <t>155.172413793103</t>
  </si>
  <si>
    <t>143.90243902439</t>
  </si>
  <si>
    <t>Yield_plant</t>
  </si>
  <si>
    <t>44.75</t>
  </si>
  <si>
    <t>53.75</t>
  </si>
  <si>
    <t>50.1666666666667</t>
  </si>
  <si>
    <t>67.3333333333333</t>
  </si>
  <si>
    <t>171.428571428571</t>
  </si>
  <si>
    <t>237.5</t>
  </si>
  <si>
    <t>216.666666666667</t>
  </si>
  <si>
    <t>228.571428571429</t>
  </si>
  <si>
    <t>137.5</t>
  </si>
  <si>
    <t>214.285714285714</t>
  </si>
  <si>
    <t>19.5</t>
  </si>
  <si>
    <t>46.5</t>
  </si>
  <si>
    <t>NA</t>
  </si>
  <si>
    <t>D1</t>
  </si>
  <si>
    <t>D2</t>
  </si>
  <si>
    <t>D4</t>
  </si>
  <si>
    <t>D5</t>
  </si>
  <si>
    <t>W2</t>
  </si>
  <si>
    <t>W3</t>
  </si>
  <si>
    <t>D3</t>
  </si>
  <si>
    <t>H2O</t>
  </si>
  <si>
    <t>H100</t>
  </si>
  <si>
    <t>T100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</si>
</sst>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1177-2051-4B8F-B197-1F6B729F0E1E}">
  <sheetPr filterMode="1"/>
  <dimension ref="A1:I33"/>
  <sheetViews>
    <sheetView tabSelected="1" workbookViewId="0">
      <selection activeCell="A28" sqref="A28:G30"/>
    </sheetView>
  </sheetViews>
  <sheetFormatPr baseColWidth="10" defaultRowHeight="15" x14ac:dyDescent="0.25"/>
  <cols>
    <col min="2" max="2" width="19.7109375" customWidth="1"/>
    <col min="7" max="7" width="12.28515625" customWidth="1"/>
    <col min="8" max="8" width="19.85546875" customWidth="1"/>
  </cols>
  <sheetData>
    <row r="1" spans="1:9" x14ac:dyDescent="0.25">
      <c r="A1" s="1" t="s">
        <v>38</v>
      </c>
      <c r="B1" s="1" t="s">
        <v>50</v>
      </c>
      <c r="C1" s="1" t="s">
        <v>39</v>
      </c>
      <c r="D1" s="1" t="s">
        <v>40</v>
      </c>
      <c r="E1" s="1" t="s">
        <v>43</v>
      </c>
      <c r="F1" s="1" t="s">
        <v>44</v>
      </c>
      <c r="G1" s="1" t="s">
        <v>66</v>
      </c>
      <c r="H1" s="1"/>
    </row>
    <row r="2" spans="1:9" x14ac:dyDescent="0.25">
      <c r="A2" s="1" t="s">
        <v>80</v>
      </c>
      <c r="B2" s="1" t="s">
        <v>51</v>
      </c>
      <c r="C2" s="1">
        <v>1</v>
      </c>
      <c r="D2" s="1" t="s">
        <v>87</v>
      </c>
      <c r="E2" s="1">
        <v>171</v>
      </c>
      <c r="F2" s="1">
        <v>5</v>
      </c>
      <c r="G2">
        <f t="shared" ref="G2:G33" si="0">E2/F2</f>
        <v>34.200000000000003</v>
      </c>
    </row>
    <row r="3" spans="1:9" x14ac:dyDescent="0.25">
      <c r="A3" s="1" t="s">
        <v>80</v>
      </c>
      <c r="B3" s="1" t="s">
        <v>51</v>
      </c>
      <c r="C3" s="1">
        <v>2</v>
      </c>
      <c r="D3" s="1" t="s">
        <v>87</v>
      </c>
      <c r="E3" s="1">
        <v>78</v>
      </c>
      <c r="F3" s="1">
        <v>4</v>
      </c>
      <c r="G3">
        <f t="shared" si="0"/>
        <v>19.5</v>
      </c>
      <c r="H3" s="1"/>
      <c r="I3" s="1"/>
    </row>
    <row r="4" spans="1:9" x14ac:dyDescent="0.25">
      <c r="A4" s="1" t="s">
        <v>80</v>
      </c>
      <c r="B4" s="1" t="s">
        <v>51</v>
      </c>
      <c r="C4" s="1">
        <v>3</v>
      </c>
      <c r="D4" s="1" t="s">
        <v>87</v>
      </c>
      <c r="E4" s="1">
        <v>301</v>
      </c>
      <c r="F4" s="1">
        <v>6</v>
      </c>
      <c r="G4">
        <f t="shared" si="0"/>
        <v>50.166666666666664</v>
      </c>
      <c r="H4" s="1"/>
      <c r="I4" s="1"/>
    </row>
    <row r="5" spans="1:9" hidden="1" x14ac:dyDescent="0.25">
      <c r="A5" s="1" t="s">
        <v>81</v>
      </c>
      <c r="B5" s="1" t="s">
        <v>51</v>
      </c>
      <c r="C5" s="1">
        <v>4</v>
      </c>
      <c r="D5" s="1" t="s">
        <v>87</v>
      </c>
      <c r="E5" s="1">
        <v>2700</v>
      </c>
      <c r="F5" s="1">
        <v>54</v>
      </c>
      <c r="G5">
        <f t="shared" si="0"/>
        <v>50</v>
      </c>
      <c r="H5" s="1"/>
      <c r="I5" s="1"/>
    </row>
    <row r="6" spans="1:9" hidden="1" x14ac:dyDescent="0.25">
      <c r="A6" s="1" t="s">
        <v>81</v>
      </c>
      <c r="B6" s="1" t="s">
        <v>51</v>
      </c>
      <c r="C6" s="1">
        <v>5</v>
      </c>
      <c r="D6" s="1" t="s">
        <v>87</v>
      </c>
      <c r="E6" s="1">
        <v>3400</v>
      </c>
      <c r="F6" s="1">
        <v>52</v>
      </c>
      <c r="G6">
        <f t="shared" si="0"/>
        <v>65.384615384615387</v>
      </c>
      <c r="H6" s="1"/>
      <c r="I6" s="1"/>
    </row>
    <row r="7" spans="1:9" hidden="1" x14ac:dyDescent="0.25">
      <c r="A7" s="1" t="s">
        <v>81</v>
      </c>
      <c r="B7" s="1" t="s">
        <v>51</v>
      </c>
      <c r="C7" s="1">
        <v>6</v>
      </c>
      <c r="D7" s="1" t="s">
        <v>87</v>
      </c>
      <c r="E7" s="1">
        <v>3000</v>
      </c>
      <c r="F7" s="1">
        <v>47</v>
      </c>
      <c r="G7">
        <f t="shared" si="0"/>
        <v>63.829787234042556</v>
      </c>
      <c r="H7" s="1"/>
      <c r="I7" s="1"/>
    </row>
    <row r="8" spans="1:9" hidden="1" x14ac:dyDescent="0.25">
      <c r="A8" s="1" t="s">
        <v>86</v>
      </c>
      <c r="B8" s="1" t="s">
        <v>51</v>
      </c>
      <c r="C8" s="1">
        <v>7</v>
      </c>
      <c r="D8" s="1" t="s">
        <v>87</v>
      </c>
      <c r="E8" s="1">
        <v>3000</v>
      </c>
      <c r="F8" s="1">
        <v>42</v>
      </c>
      <c r="G8">
        <f t="shared" si="0"/>
        <v>71.428571428571431</v>
      </c>
      <c r="H8" s="1"/>
      <c r="I8" s="1"/>
    </row>
    <row r="9" spans="1:9" hidden="1" x14ac:dyDescent="0.25">
      <c r="A9" s="1" t="s">
        <v>86</v>
      </c>
      <c r="B9" s="1" t="s">
        <v>51</v>
      </c>
      <c r="C9" s="1">
        <v>8</v>
      </c>
      <c r="D9" s="1" t="s">
        <v>87</v>
      </c>
      <c r="E9" s="1">
        <v>4000</v>
      </c>
      <c r="F9" s="1">
        <v>44</v>
      </c>
      <c r="G9">
        <f t="shared" si="0"/>
        <v>90.909090909090907</v>
      </c>
      <c r="H9" s="1"/>
      <c r="I9" s="1"/>
    </row>
    <row r="10" spans="1:9" hidden="1" x14ac:dyDescent="0.25">
      <c r="A10" s="1" t="s">
        <v>86</v>
      </c>
      <c r="B10" s="1" t="s">
        <v>51</v>
      </c>
      <c r="C10" s="1">
        <v>9</v>
      </c>
      <c r="D10" s="1" t="s">
        <v>87</v>
      </c>
      <c r="E10" s="1">
        <v>3400</v>
      </c>
      <c r="F10" s="1">
        <v>43</v>
      </c>
      <c r="G10">
        <f t="shared" si="0"/>
        <v>79.069767441860463</v>
      </c>
      <c r="H10" s="1"/>
      <c r="I10" s="1"/>
    </row>
    <row r="11" spans="1:9" hidden="1" x14ac:dyDescent="0.25">
      <c r="A11" s="1" t="s">
        <v>84</v>
      </c>
      <c r="B11" s="1" t="s">
        <v>52</v>
      </c>
      <c r="C11" s="1">
        <v>10</v>
      </c>
      <c r="D11" s="1" t="s">
        <v>87</v>
      </c>
      <c r="E11" s="1"/>
      <c r="F11" s="1">
        <v>34</v>
      </c>
      <c r="G11">
        <f t="shared" si="0"/>
        <v>0</v>
      </c>
      <c r="H11" s="1"/>
      <c r="I11" s="1"/>
    </row>
    <row r="12" spans="1:9" hidden="1" x14ac:dyDescent="0.25">
      <c r="A12" s="1" t="s">
        <v>84</v>
      </c>
      <c r="B12" s="1" t="s">
        <v>52</v>
      </c>
      <c r="C12" s="1">
        <v>11</v>
      </c>
      <c r="D12" s="1" t="s">
        <v>87</v>
      </c>
      <c r="E12" s="1">
        <v>1754</v>
      </c>
      <c r="F12" s="1">
        <v>35</v>
      </c>
      <c r="G12">
        <f t="shared" si="0"/>
        <v>50.114285714285714</v>
      </c>
    </row>
    <row r="13" spans="1:9" hidden="1" x14ac:dyDescent="0.25">
      <c r="A13" s="1" t="s">
        <v>84</v>
      </c>
      <c r="B13" s="1" t="s">
        <v>52</v>
      </c>
      <c r="C13" s="1">
        <v>12</v>
      </c>
      <c r="D13" s="1" t="s">
        <v>87</v>
      </c>
      <c r="E13" s="1"/>
      <c r="F13" s="1">
        <v>34</v>
      </c>
      <c r="G13">
        <f t="shared" si="0"/>
        <v>0</v>
      </c>
    </row>
    <row r="14" spans="1:9" hidden="1" x14ac:dyDescent="0.25">
      <c r="A14" s="1" t="s">
        <v>85</v>
      </c>
      <c r="B14" s="1" t="s">
        <v>52</v>
      </c>
      <c r="C14" s="1">
        <v>13</v>
      </c>
      <c r="D14" s="1" t="s">
        <v>87</v>
      </c>
      <c r="E14" s="1">
        <v>217</v>
      </c>
      <c r="F14" s="1">
        <v>38</v>
      </c>
      <c r="G14">
        <f t="shared" si="0"/>
        <v>5.7105263157894735</v>
      </c>
    </row>
    <row r="15" spans="1:9" hidden="1" x14ac:dyDescent="0.25">
      <c r="A15" s="1" t="s">
        <v>85</v>
      </c>
      <c r="B15" s="1" t="s">
        <v>52</v>
      </c>
      <c r="C15" s="1">
        <v>14</v>
      </c>
      <c r="D15" s="1" t="s">
        <v>87</v>
      </c>
      <c r="E15" s="1">
        <v>72</v>
      </c>
      <c r="F15" s="1">
        <v>10</v>
      </c>
      <c r="G15">
        <f t="shared" si="0"/>
        <v>7.2</v>
      </c>
    </row>
    <row r="16" spans="1:9" hidden="1" x14ac:dyDescent="0.25">
      <c r="A16" s="1" t="s">
        <v>82</v>
      </c>
      <c r="B16" s="1" t="s">
        <v>51</v>
      </c>
      <c r="C16" s="1">
        <v>15</v>
      </c>
      <c r="D16" s="1" t="s">
        <v>87</v>
      </c>
      <c r="E16" s="1">
        <v>7400</v>
      </c>
      <c r="F16" s="1">
        <v>34</v>
      </c>
      <c r="G16">
        <f t="shared" si="0"/>
        <v>217.64705882352942</v>
      </c>
    </row>
    <row r="17" spans="1:7" hidden="1" x14ac:dyDescent="0.25">
      <c r="A17" s="1" t="s">
        <v>82</v>
      </c>
      <c r="B17" s="1" t="s">
        <v>51</v>
      </c>
      <c r="C17" s="1">
        <v>16</v>
      </c>
      <c r="D17" s="1" t="s">
        <v>87</v>
      </c>
      <c r="E17" s="1">
        <v>4500</v>
      </c>
      <c r="F17" s="1">
        <v>29</v>
      </c>
      <c r="G17">
        <f t="shared" si="0"/>
        <v>155.17241379310346</v>
      </c>
    </row>
    <row r="18" spans="1:7" hidden="1" x14ac:dyDescent="0.25">
      <c r="A18" s="1" t="s">
        <v>82</v>
      </c>
      <c r="B18" s="1" t="s">
        <v>51</v>
      </c>
      <c r="C18" s="1">
        <v>17</v>
      </c>
      <c r="D18" s="1" t="s">
        <v>87</v>
      </c>
      <c r="E18" s="1">
        <v>5900</v>
      </c>
      <c r="F18" s="1">
        <v>41</v>
      </c>
      <c r="G18">
        <f t="shared" si="0"/>
        <v>143.90243902439025</v>
      </c>
    </row>
    <row r="19" spans="1:7" x14ac:dyDescent="0.25">
      <c r="A19" s="1" t="s">
        <v>83</v>
      </c>
      <c r="B19" s="1" t="s">
        <v>51</v>
      </c>
      <c r="C19" s="1">
        <v>18</v>
      </c>
      <c r="D19" s="1" t="s">
        <v>87</v>
      </c>
      <c r="E19" s="1">
        <v>1800</v>
      </c>
      <c r="F19" s="1">
        <v>8</v>
      </c>
      <c r="G19">
        <f t="shared" si="0"/>
        <v>225</v>
      </c>
    </row>
    <row r="20" spans="1:7" x14ac:dyDescent="0.25">
      <c r="A20" s="1" t="s">
        <v>83</v>
      </c>
      <c r="B20" s="1" t="s">
        <v>51</v>
      </c>
      <c r="C20" s="1">
        <v>19</v>
      </c>
      <c r="D20" s="1" t="s">
        <v>87</v>
      </c>
      <c r="E20" s="1">
        <v>900</v>
      </c>
      <c r="F20" s="1">
        <v>6</v>
      </c>
      <c r="G20">
        <f t="shared" si="0"/>
        <v>150</v>
      </c>
    </row>
    <row r="21" spans="1:7" x14ac:dyDescent="0.25">
      <c r="A21" s="1" t="s">
        <v>83</v>
      </c>
      <c r="B21" s="1" t="s">
        <v>51</v>
      </c>
      <c r="C21" s="1">
        <v>20</v>
      </c>
      <c r="D21" s="1" t="s">
        <v>87</v>
      </c>
      <c r="E21" s="1">
        <v>2000</v>
      </c>
      <c r="F21" s="1">
        <v>8</v>
      </c>
      <c r="G21">
        <f t="shared" si="0"/>
        <v>250</v>
      </c>
    </row>
    <row r="22" spans="1:7" x14ac:dyDescent="0.25">
      <c r="A22" s="1" t="s">
        <v>80</v>
      </c>
      <c r="B22" s="1" t="s">
        <v>51</v>
      </c>
      <c r="C22" s="1">
        <v>1</v>
      </c>
      <c r="D22" s="1" t="s">
        <v>88</v>
      </c>
      <c r="E22" s="1">
        <v>215</v>
      </c>
      <c r="F22" s="1">
        <v>4</v>
      </c>
      <c r="G22">
        <f t="shared" si="0"/>
        <v>53.75</v>
      </c>
    </row>
    <row r="23" spans="1:7" x14ac:dyDescent="0.25">
      <c r="A23" s="1" t="s">
        <v>80</v>
      </c>
      <c r="B23" s="1" t="s">
        <v>51</v>
      </c>
      <c r="C23" s="1">
        <v>2</v>
      </c>
      <c r="D23" s="1" t="s">
        <v>88</v>
      </c>
      <c r="E23" s="1">
        <v>420</v>
      </c>
      <c r="F23" s="1">
        <v>6</v>
      </c>
      <c r="G23">
        <f t="shared" si="0"/>
        <v>70</v>
      </c>
    </row>
    <row r="24" spans="1:7" x14ac:dyDescent="0.25">
      <c r="A24" s="1" t="s">
        <v>80</v>
      </c>
      <c r="B24" s="1" t="s">
        <v>51</v>
      </c>
      <c r="C24" s="1">
        <v>3</v>
      </c>
      <c r="D24" s="1" t="s">
        <v>88</v>
      </c>
      <c r="E24" s="1">
        <v>209</v>
      </c>
      <c r="F24" s="1">
        <v>4</v>
      </c>
      <c r="G24">
        <f t="shared" si="0"/>
        <v>52.25</v>
      </c>
    </row>
    <row r="25" spans="1:7" x14ac:dyDescent="0.25">
      <c r="A25" s="1" t="s">
        <v>83</v>
      </c>
      <c r="B25" s="1" t="s">
        <v>51</v>
      </c>
      <c r="C25" s="1">
        <v>18</v>
      </c>
      <c r="D25" s="1" t="s">
        <v>88</v>
      </c>
      <c r="E25" s="1">
        <v>1900</v>
      </c>
      <c r="F25" s="1">
        <v>8</v>
      </c>
      <c r="G25">
        <f t="shared" si="0"/>
        <v>237.5</v>
      </c>
    </row>
    <row r="26" spans="1:7" x14ac:dyDescent="0.25">
      <c r="A26" s="1" t="s">
        <v>83</v>
      </c>
      <c r="B26" s="1" t="s">
        <v>51</v>
      </c>
      <c r="C26" s="1">
        <v>19</v>
      </c>
      <c r="D26" s="1" t="s">
        <v>88</v>
      </c>
      <c r="E26" s="1">
        <v>1300</v>
      </c>
      <c r="F26" s="1">
        <v>6</v>
      </c>
      <c r="G26">
        <f t="shared" si="0"/>
        <v>216.66666666666666</v>
      </c>
    </row>
    <row r="27" spans="1:7" x14ac:dyDescent="0.25">
      <c r="A27" s="1" t="s">
        <v>83</v>
      </c>
      <c r="B27" s="1" t="s">
        <v>51</v>
      </c>
      <c r="C27" s="1">
        <v>20</v>
      </c>
      <c r="D27" s="1" t="s">
        <v>88</v>
      </c>
      <c r="E27" s="1">
        <v>1600</v>
      </c>
      <c r="F27" s="1">
        <v>7</v>
      </c>
      <c r="G27">
        <f t="shared" si="0"/>
        <v>228.57142857142858</v>
      </c>
    </row>
    <row r="28" spans="1:7" x14ac:dyDescent="0.25">
      <c r="A28" s="1" t="s">
        <v>80</v>
      </c>
      <c r="B28" s="1" t="s">
        <v>51</v>
      </c>
      <c r="C28" s="1">
        <v>1</v>
      </c>
      <c r="D28" s="1" t="s">
        <v>89</v>
      </c>
      <c r="E28" s="1">
        <v>404</v>
      </c>
      <c r="F28" s="1">
        <v>6</v>
      </c>
      <c r="G28">
        <f t="shared" si="0"/>
        <v>67.333333333333329</v>
      </c>
    </row>
    <row r="29" spans="1:7" x14ac:dyDescent="0.25">
      <c r="A29" s="1" t="s">
        <v>80</v>
      </c>
      <c r="B29" s="1" t="s">
        <v>51</v>
      </c>
      <c r="C29" s="1">
        <v>2</v>
      </c>
      <c r="D29" s="1" t="s">
        <v>89</v>
      </c>
      <c r="E29" s="1">
        <v>186</v>
      </c>
      <c r="F29" s="1">
        <v>4</v>
      </c>
      <c r="G29">
        <f t="shared" si="0"/>
        <v>46.5</v>
      </c>
    </row>
    <row r="30" spans="1:7" x14ac:dyDescent="0.25">
      <c r="A30" s="1" t="s">
        <v>80</v>
      </c>
      <c r="B30" s="1" t="s">
        <v>51</v>
      </c>
      <c r="C30" s="1">
        <v>3</v>
      </c>
      <c r="D30" s="1" t="s">
        <v>89</v>
      </c>
      <c r="E30" s="1">
        <v>179</v>
      </c>
      <c r="F30" s="1">
        <v>4</v>
      </c>
      <c r="G30">
        <f t="shared" si="0"/>
        <v>44.75</v>
      </c>
    </row>
    <row r="31" spans="1:7" x14ac:dyDescent="0.25">
      <c r="A31" s="1" t="s">
        <v>83</v>
      </c>
      <c r="B31" s="1" t="s">
        <v>51</v>
      </c>
      <c r="C31" s="1">
        <v>18</v>
      </c>
      <c r="D31" s="1" t="s">
        <v>89</v>
      </c>
      <c r="E31" s="1">
        <v>1100</v>
      </c>
      <c r="F31" s="1">
        <v>8</v>
      </c>
      <c r="G31">
        <f t="shared" si="0"/>
        <v>137.5</v>
      </c>
    </row>
    <row r="32" spans="1:7" x14ac:dyDescent="0.25">
      <c r="A32" s="1" t="s">
        <v>83</v>
      </c>
      <c r="B32" s="1" t="s">
        <v>51</v>
      </c>
      <c r="C32" s="1">
        <v>19</v>
      </c>
      <c r="D32" s="1" t="s">
        <v>89</v>
      </c>
      <c r="E32" s="1">
        <v>1500</v>
      </c>
      <c r="F32" s="1">
        <v>7</v>
      </c>
      <c r="G32">
        <f t="shared" si="0"/>
        <v>214.28571428571428</v>
      </c>
    </row>
    <row r="33" spans="1:7" x14ac:dyDescent="0.25">
      <c r="A33" s="1" t="s">
        <v>83</v>
      </c>
      <c r="B33" s="1" t="s">
        <v>51</v>
      </c>
      <c r="C33" s="1">
        <v>20</v>
      </c>
      <c r="D33" s="1" t="s">
        <v>89</v>
      </c>
      <c r="E33" s="1">
        <v>1200</v>
      </c>
      <c r="F33" s="1">
        <v>7</v>
      </c>
      <c r="G33">
        <f t="shared" si="0"/>
        <v>171.42857142857142</v>
      </c>
    </row>
  </sheetData>
  <autoFilter ref="A1:I33" xr:uid="{8A711177-2051-4B8F-B197-1F6B729F0E1E}">
    <filterColumn colId="0">
      <filters>
        <filter val="D1"/>
        <filter val="D5"/>
      </filters>
    </filterColumn>
    <sortState xmlns:xlrd2="http://schemas.microsoft.com/office/spreadsheetml/2017/richdata2" ref="A2:I33">
      <sortCondition ref="D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EF73-788D-4DFF-976A-4D424E6DF760}">
  <dimension ref="A1:G33"/>
  <sheetViews>
    <sheetView workbookViewId="0">
      <selection activeCell="C33" sqref="C2:C33"/>
    </sheetView>
  </sheetViews>
  <sheetFormatPr baseColWidth="10" defaultRowHeight="15" x14ac:dyDescent="0.25"/>
  <cols>
    <col min="1" max="1" width="11.42578125" style="1"/>
    <col min="2" max="2" width="15.5703125" style="1" customWidth="1"/>
    <col min="3" max="3" width="11.42578125" style="1"/>
    <col min="4" max="4" width="14.140625" style="1" customWidth="1"/>
    <col min="5" max="5" width="15.140625" style="1" customWidth="1"/>
    <col min="6" max="6" width="15.28515625" style="1" customWidth="1"/>
    <col min="7" max="7" width="16.140625" style="1" customWidth="1"/>
  </cols>
  <sheetData>
    <row r="1" spans="1:7" x14ac:dyDescent="0.25">
      <c r="A1" s="1" t="s">
        <v>38</v>
      </c>
      <c r="B1" s="1" t="s">
        <v>50</v>
      </c>
      <c r="C1" s="1" t="s">
        <v>39</v>
      </c>
      <c r="D1" s="1" t="s">
        <v>40</v>
      </c>
      <c r="E1" s="1" t="s">
        <v>43</v>
      </c>
      <c r="F1" s="1" t="s">
        <v>44</v>
      </c>
      <c r="G1" s="1" t="s">
        <v>66</v>
      </c>
    </row>
    <row r="2" spans="1:7" x14ac:dyDescent="0.25">
      <c r="A2" s="1" t="s">
        <v>35</v>
      </c>
      <c r="B2" s="1" t="s">
        <v>51</v>
      </c>
      <c r="C2" s="1">
        <v>1</v>
      </c>
      <c r="D2" s="1" t="s">
        <v>36</v>
      </c>
      <c r="E2" s="1">
        <v>404</v>
      </c>
      <c r="F2" s="1">
        <v>6</v>
      </c>
      <c r="G2" t="s">
        <v>70</v>
      </c>
    </row>
    <row r="3" spans="1:7" x14ac:dyDescent="0.25">
      <c r="A3" s="1" t="s">
        <v>35</v>
      </c>
      <c r="B3" s="1" t="s">
        <v>51</v>
      </c>
      <c r="C3" s="1">
        <v>2</v>
      </c>
      <c r="D3" s="1" t="s">
        <v>36</v>
      </c>
      <c r="E3" s="1">
        <v>186</v>
      </c>
      <c r="F3" s="1">
        <v>4</v>
      </c>
      <c r="G3" t="s">
        <v>78</v>
      </c>
    </row>
    <row r="4" spans="1:7" x14ac:dyDescent="0.25">
      <c r="A4" s="1" t="s">
        <v>35</v>
      </c>
      <c r="B4" s="1" t="s">
        <v>51</v>
      </c>
      <c r="C4" s="1">
        <v>3</v>
      </c>
      <c r="D4" s="1" t="s">
        <v>36</v>
      </c>
      <c r="E4" s="1">
        <v>179</v>
      </c>
      <c r="F4" s="1">
        <v>4</v>
      </c>
      <c r="G4" t="s">
        <v>67</v>
      </c>
    </row>
    <row r="5" spans="1:7" x14ac:dyDescent="0.25">
      <c r="A5" s="1" t="s">
        <v>35</v>
      </c>
      <c r="B5" s="1" t="s">
        <v>51</v>
      </c>
      <c r="C5" s="1">
        <v>1</v>
      </c>
      <c r="D5" s="1" t="s">
        <v>37</v>
      </c>
      <c r="E5" s="1">
        <v>215</v>
      </c>
      <c r="F5" s="1">
        <v>4</v>
      </c>
      <c r="G5" t="s">
        <v>68</v>
      </c>
    </row>
    <row r="6" spans="1:7" x14ac:dyDescent="0.25">
      <c r="A6" s="1" t="s">
        <v>35</v>
      </c>
      <c r="B6" s="1" t="s">
        <v>51</v>
      </c>
      <c r="C6" s="1">
        <v>2</v>
      </c>
      <c r="D6" s="1" t="s">
        <v>37</v>
      </c>
      <c r="E6" s="1">
        <v>420</v>
      </c>
      <c r="F6" s="1">
        <v>6</v>
      </c>
      <c r="G6">
        <v>70</v>
      </c>
    </row>
    <row r="7" spans="1:7" x14ac:dyDescent="0.25">
      <c r="A7" s="1" t="s">
        <v>35</v>
      </c>
      <c r="B7" s="1" t="s">
        <v>51</v>
      </c>
      <c r="C7" s="1">
        <v>3</v>
      </c>
      <c r="D7" s="1" t="s">
        <v>37</v>
      </c>
      <c r="E7" s="1">
        <v>209</v>
      </c>
      <c r="F7" s="1">
        <v>4</v>
      </c>
      <c r="G7" t="s">
        <v>53</v>
      </c>
    </row>
    <row r="8" spans="1:7" x14ac:dyDescent="0.25">
      <c r="A8" s="1" t="s">
        <v>35</v>
      </c>
      <c r="B8" s="1" t="s">
        <v>51</v>
      </c>
      <c r="C8" s="1">
        <v>1</v>
      </c>
      <c r="D8" s="1" t="s">
        <v>41</v>
      </c>
      <c r="E8" s="1">
        <v>171</v>
      </c>
      <c r="F8" s="1">
        <v>5</v>
      </c>
      <c r="G8" t="s">
        <v>54</v>
      </c>
    </row>
    <row r="9" spans="1:7" x14ac:dyDescent="0.25">
      <c r="A9" s="1" t="s">
        <v>35</v>
      </c>
      <c r="B9" s="1" t="s">
        <v>51</v>
      </c>
      <c r="C9" s="1">
        <v>2</v>
      </c>
      <c r="D9" s="1" t="s">
        <v>41</v>
      </c>
      <c r="E9" s="1">
        <v>78</v>
      </c>
      <c r="F9" s="1">
        <v>4</v>
      </c>
      <c r="G9" t="s">
        <v>77</v>
      </c>
    </row>
    <row r="10" spans="1:7" x14ac:dyDescent="0.25">
      <c r="A10" s="1" t="s">
        <v>35</v>
      </c>
      <c r="B10" s="1" t="s">
        <v>51</v>
      </c>
      <c r="C10" s="1">
        <v>3</v>
      </c>
      <c r="D10" s="1" t="s">
        <v>41</v>
      </c>
      <c r="E10" s="1">
        <v>301</v>
      </c>
      <c r="F10" s="1">
        <v>6</v>
      </c>
      <c r="G10" t="s">
        <v>69</v>
      </c>
    </row>
    <row r="11" spans="1:7" x14ac:dyDescent="0.25">
      <c r="A11" s="1" t="s">
        <v>42</v>
      </c>
      <c r="B11" s="1" t="s">
        <v>51</v>
      </c>
      <c r="C11" s="1">
        <v>4</v>
      </c>
      <c r="D11" s="1" t="s">
        <v>41</v>
      </c>
      <c r="E11" s="1">
        <v>2700</v>
      </c>
      <c r="F11" s="1">
        <v>54</v>
      </c>
      <c r="G11">
        <v>50</v>
      </c>
    </row>
    <row r="12" spans="1:7" x14ac:dyDescent="0.25">
      <c r="A12" s="1" t="s">
        <v>42</v>
      </c>
      <c r="B12" s="1" t="s">
        <v>51</v>
      </c>
      <c r="C12" s="1">
        <v>5</v>
      </c>
      <c r="D12" s="1" t="s">
        <v>41</v>
      </c>
      <c r="E12" s="1">
        <v>3400</v>
      </c>
      <c r="F12" s="1">
        <v>52</v>
      </c>
      <c r="G12" t="s">
        <v>55</v>
      </c>
    </row>
    <row r="13" spans="1:7" x14ac:dyDescent="0.25">
      <c r="A13" s="1" t="s">
        <v>42</v>
      </c>
      <c r="B13" s="1" t="s">
        <v>51</v>
      </c>
      <c r="C13" s="1">
        <v>6</v>
      </c>
      <c r="D13" s="1" t="s">
        <v>41</v>
      </c>
      <c r="E13" s="1">
        <v>3000</v>
      </c>
      <c r="F13" s="1">
        <v>47</v>
      </c>
      <c r="G13" t="s">
        <v>56</v>
      </c>
    </row>
    <row r="14" spans="1:7" x14ac:dyDescent="0.25">
      <c r="A14" s="1" t="s">
        <v>45</v>
      </c>
      <c r="B14" s="1" t="s">
        <v>51</v>
      </c>
      <c r="C14" s="1">
        <v>7</v>
      </c>
      <c r="D14" s="1" t="s">
        <v>41</v>
      </c>
      <c r="E14" s="1">
        <v>3000</v>
      </c>
      <c r="F14" s="1">
        <v>42</v>
      </c>
      <c r="G14" t="s">
        <v>57</v>
      </c>
    </row>
    <row r="15" spans="1:7" x14ac:dyDescent="0.25">
      <c r="A15" s="1" t="s">
        <v>45</v>
      </c>
      <c r="B15" s="1" t="s">
        <v>51</v>
      </c>
      <c r="C15" s="1">
        <v>8</v>
      </c>
      <c r="D15" s="1" t="s">
        <v>41</v>
      </c>
      <c r="E15" s="1">
        <v>4000</v>
      </c>
      <c r="F15" s="1">
        <v>44</v>
      </c>
      <c r="G15" t="s">
        <v>58</v>
      </c>
    </row>
    <row r="16" spans="1:7" x14ac:dyDescent="0.25">
      <c r="A16" s="1" t="s">
        <v>45</v>
      </c>
      <c r="B16" s="1" t="s">
        <v>51</v>
      </c>
      <c r="C16" s="1">
        <v>9</v>
      </c>
      <c r="D16" s="1" t="s">
        <v>41</v>
      </c>
      <c r="E16" s="1">
        <v>3400</v>
      </c>
      <c r="F16" s="1">
        <v>43</v>
      </c>
      <c r="G16" t="s">
        <v>59</v>
      </c>
    </row>
    <row r="17" spans="1:7" x14ac:dyDescent="0.25">
      <c r="A17" s="1" t="s">
        <v>46</v>
      </c>
      <c r="B17" s="1" t="s">
        <v>52</v>
      </c>
      <c r="C17" s="1">
        <v>10</v>
      </c>
      <c r="D17" s="1" t="s">
        <v>41</v>
      </c>
      <c r="E17" s="1" t="s">
        <v>79</v>
      </c>
      <c r="F17" s="1">
        <v>34</v>
      </c>
      <c r="G17" s="1" t="s">
        <v>79</v>
      </c>
    </row>
    <row r="18" spans="1:7" x14ac:dyDescent="0.25">
      <c r="A18" s="1" t="s">
        <v>46</v>
      </c>
      <c r="B18" s="1" t="s">
        <v>52</v>
      </c>
      <c r="C18" s="1">
        <v>11</v>
      </c>
      <c r="D18" s="1" t="s">
        <v>41</v>
      </c>
      <c r="E18" s="1">
        <v>1754</v>
      </c>
      <c r="F18" s="1">
        <v>35</v>
      </c>
      <c r="G18" t="s">
        <v>60</v>
      </c>
    </row>
    <row r="19" spans="1:7" x14ac:dyDescent="0.25">
      <c r="A19" s="1" t="s">
        <v>46</v>
      </c>
      <c r="B19" s="1" t="s">
        <v>52</v>
      </c>
      <c r="C19" s="1">
        <v>12</v>
      </c>
      <c r="D19" s="1" t="s">
        <v>41</v>
      </c>
      <c r="E19" s="1" t="s">
        <v>79</v>
      </c>
      <c r="F19" s="1">
        <v>34</v>
      </c>
      <c r="G19" s="1" t="s">
        <v>79</v>
      </c>
    </row>
    <row r="20" spans="1:7" x14ac:dyDescent="0.25">
      <c r="A20" s="1" t="s">
        <v>47</v>
      </c>
      <c r="B20" s="1" t="s">
        <v>52</v>
      </c>
      <c r="C20" s="1">
        <v>13</v>
      </c>
      <c r="D20" s="1" t="s">
        <v>41</v>
      </c>
      <c r="E20" s="1">
        <v>217</v>
      </c>
      <c r="F20" s="1">
        <v>38</v>
      </c>
      <c r="G20" t="s">
        <v>61</v>
      </c>
    </row>
    <row r="21" spans="1:7" x14ac:dyDescent="0.25">
      <c r="A21" s="1" t="s">
        <v>47</v>
      </c>
      <c r="B21" s="1" t="s">
        <v>52</v>
      </c>
      <c r="C21" s="1">
        <v>14</v>
      </c>
      <c r="D21" s="1" t="s">
        <v>41</v>
      </c>
      <c r="E21" s="1">
        <v>72</v>
      </c>
      <c r="F21" s="1">
        <v>10</v>
      </c>
      <c r="G21" t="s">
        <v>62</v>
      </c>
    </row>
    <row r="22" spans="1:7" x14ac:dyDescent="0.25">
      <c r="A22" s="1" t="s">
        <v>48</v>
      </c>
      <c r="B22" s="1" t="s">
        <v>51</v>
      </c>
      <c r="C22" s="1">
        <v>15</v>
      </c>
      <c r="D22" s="1" t="s">
        <v>41</v>
      </c>
      <c r="E22" s="1">
        <v>7400</v>
      </c>
      <c r="F22" s="1">
        <v>34</v>
      </c>
      <c r="G22" t="s">
        <v>63</v>
      </c>
    </row>
    <row r="23" spans="1:7" x14ac:dyDescent="0.25">
      <c r="A23" s="1" t="s">
        <v>48</v>
      </c>
      <c r="B23" s="1" t="s">
        <v>51</v>
      </c>
      <c r="C23" s="1">
        <v>16</v>
      </c>
      <c r="D23" s="1" t="s">
        <v>41</v>
      </c>
      <c r="E23" s="1">
        <v>4500</v>
      </c>
      <c r="F23" s="1">
        <v>29</v>
      </c>
      <c r="G23" t="s">
        <v>64</v>
      </c>
    </row>
    <row r="24" spans="1:7" x14ac:dyDescent="0.25">
      <c r="A24" s="1" t="s">
        <v>48</v>
      </c>
      <c r="B24" s="1" t="s">
        <v>51</v>
      </c>
      <c r="C24" s="1">
        <v>17</v>
      </c>
      <c r="D24" s="1" t="s">
        <v>41</v>
      </c>
      <c r="E24" s="1">
        <v>5900</v>
      </c>
      <c r="F24" s="1">
        <v>41</v>
      </c>
      <c r="G24" t="s">
        <v>65</v>
      </c>
    </row>
    <row r="25" spans="1:7" x14ac:dyDescent="0.25">
      <c r="A25" s="1" t="s">
        <v>49</v>
      </c>
      <c r="B25" s="1" t="s">
        <v>51</v>
      </c>
      <c r="C25" s="1">
        <v>18</v>
      </c>
      <c r="D25" s="1" t="s">
        <v>36</v>
      </c>
      <c r="E25" s="1">
        <v>1100</v>
      </c>
      <c r="F25" s="1">
        <v>8</v>
      </c>
      <c r="G25" t="s">
        <v>75</v>
      </c>
    </row>
    <row r="26" spans="1:7" x14ac:dyDescent="0.25">
      <c r="A26" s="1" t="s">
        <v>49</v>
      </c>
      <c r="B26" s="1" t="s">
        <v>51</v>
      </c>
      <c r="C26" s="1">
        <v>19</v>
      </c>
      <c r="D26" s="1" t="s">
        <v>36</v>
      </c>
      <c r="E26" s="1">
        <v>1500</v>
      </c>
      <c r="F26" s="1">
        <v>7</v>
      </c>
      <c r="G26" t="s">
        <v>76</v>
      </c>
    </row>
    <row r="27" spans="1:7" x14ac:dyDescent="0.25">
      <c r="A27" s="1" t="s">
        <v>49</v>
      </c>
      <c r="B27" s="1" t="s">
        <v>51</v>
      </c>
      <c r="C27" s="1">
        <v>20</v>
      </c>
      <c r="D27" s="1" t="s">
        <v>36</v>
      </c>
      <c r="E27" s="1">
        <v>1200</v>
      </c>
      <c r="F27" s="1">
        <v>7</v>
      </c>
      <c r="G27" t="s">
        <v>71</v>
      </c>
    </row>
    <row r="28" spans="1:7" x14ac:dyDescent="0.25">
      <c r="A28" s="1" t="s">
        <v>49</v>
      </c>
      <c r="B28" s="1" t="s">
        <v>51</v>
      </c>
      <c r="C28" s="1">
        <v>18</v>
      </c>
      <c r="D28" s="1" t="s">
        <v>37</v>
      </c>
      <c r="E28" s="1">
        <v>1900</v>
      </c>
      <c r="F28" s="1">
        <v>8</v>
      </c>
      <c r="G28" t="s">
        <v>72</v>
      </c>
    </row>
    <row r="29" spans="1:7" x14ac:dyDescent="0.25">
      <c r="A29" s="1" t="s">
        <v>49</v>
      </c>
      <c r="B29" s="1" t="s">
        <v>51</v>
      </c>
      <c r="C29" s="1">
        <v>19</v>
      </c>
      <c r="D29" s="1" t="s">
        <v>37</v>
      </c>
      <c r="E29" s="1">
        <v>1300</v>
      </c>
      <c r="F29" s="1">
        <v>6</v>
      </c>
      <c r="G29" t="s">
        <v>73</v>
      </c>
    </row>
    <row r="30" spans="1:7" x14ac:dyDescent="0.25">
      <c r="A30" s="1" t="s">
        <v>49</v>
      </c>
      <c r="B30" s="1" t="s">
        <v>51</v>
      </c>
      <c r="C30" s="1">
        <v>20</v>
      </c>
      <c r="D30" s="1" t="s">
        <v>37</v>
      </c>
      <c r="E30" s="1">
        <v>1600</v>
      </c>
      <c r="F30" s="1">
        <v>7</v>
      </c>
      <c r="G30" t="s">
        <v>74</v>
      </c>
    </row>
    <row r="31" spans="1:7" x14ac:dyDescent="0.25">
      <c r="A31" s="1" t="s">
        <v>49</v>
      </c>
      <c r="B31" s="1" t="s">
        <v>51</v>
      </c>
      <c r="C31" s="1">
        <v>18</v>
      </c>
      <c r="D31" s="1" t="s">
        <v>41</v>
      </c>
      <c r="E31" s="1">
        <v>1800</v>
      </c>
      <c r="F31" s="1">
        <v>8</v>
      </c>
      <c r="G31">
        <v>225</v>
      </c>
    </row>
    <row r="32" spans="1:7" x14ac:dyDescent="0.25">
      <c r="A32" s="1" t="s">
        <v>49</v>
      </c>
      <c r="B32" s="1" t="s">
        <v>51</v>
      </c>
      <c r="C32" s="1">
        <v>19</v>
      </c>
      <c r="D32" s="1" t="s">
        <v>41</v>
      </c>
      <c r="E32" s="1">
        <v>900</v>
      </c>
      <c r="F32" s="1">
        <v>6</v>
      </c>
      <c r="G32">
        <v>150</v>
      </c>
    </row>
    <row r="33" spans="1:7" x14ac:dyDescent="0.25">
      <c r="A33" s="1" t="s">
        <v>49</v>
      </c>
      <c r="B33" s="1" t="s">
        <v>51</v>
      </c>
      <c r="C33" s="1">
        <v>20</v>
      </c>
      <c r="D33" s="1" t="s">
        <v>41</v>
      </c>
      <c r="E33" s="1">
        <v>2000</v>
      </c>
      <c r="F33" s="1">
        <v>8</v>
      </c>
      <c r="G33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935A-18FF-4596-9EA3-79700B3AE961}">
  <dimension ref="A1:A48"/>
  <sheetViews>
    <sheetView workbookViewId="0">
      <selection activeCell="C11" sqref="C11"/>
    </sheetView>
  </sheetViews>
  <sheetFormatPr baseColWidth="10"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9" spans="1:1" x14ac:dyDescent="0.25">
      <c r="A19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  <row r="29" spans="1:1" x14ac:dyDescent="0.25">
      <c r="A29" t="s">
        <v>20</v>
      </c>
    </row>
    <row r="30" spans="1:1" x14ac:dyDescent="0.25">
      <c r="A30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6" spans="1:1" x14ac:dyDescent="0.25">
      <c r="A36" t="s">
        <v>25</v>
      </c>
    </row>
    <row r="38" spans="1:1" x14ac:dyDescent="0.25">
      <c r="A38" t="s">
        <v>26</v>
      </c>
    </row>
    <row r="39" spans="1:1" x14ac:dyDescent="0.25">
      <c r="A39" t="s">
        <v>27</v>
      </c>
    </row>
    <row r="40" spans="1:1" x14ac:dyDescent="0.25">
      <c r="A40" t="s">
        <v>28</v>
      </c>
    </row>
    <row r="42" spans="1:1" x14ac:dyDescent="0.25">
      <c r="A42" t="s">
        <v>29</v>
      </c>
    </row>
    <row r="43" spans="1:1" x14ac:dyDescent="0.25">
      <c r="A43" t="s">
        <v>30</v>
      </c>
    </row>
    <row r="44" spans="1:1" x14ac:dyDescent="0.25">
      <c r="A44" t="s">
        <v>31</v>
      </c>
    </row>
    <row r="46" spans="1:1" x14ac:dyDescent="0.25">
      <c r="A46" t="s">
        <v>32</v>
      </c>
    </row>
    <row r="47" spans="1:1" x14ac:dyDescent="0.25">
      <c r="A47" t="s">
        <v>33</v>
      </c>
    </row>
    <row r="48" spans="1:1" x14ac:dyDescent="0.25">
      <c r="A4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Datos</vt:lpstr>
      <vt:lpstr>Datos_R</vt:lpstr>
      <vt:lpstr>Datos_brutos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EICHHOLTZER PIEL JEAN ALOYSE PIERRE</dc:creator>
  <cp:lastModifiedBy>EICHHOLTZER PIEL JEAN ALOYSE PIERRE</cp:lastModifiedBy>
  <dcterms:created xsi:type="dcterms:W3CDTF">2026-05-04T15:55:01Z</dcterms:created>
  <dcterms:modified xsi:type="dcterms:W3CDTF">2026-08-15T01:37:12Z</dcterms:modified>
</cp:coreProperties>
</file>